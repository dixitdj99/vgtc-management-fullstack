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1a6e175a05b504/vechile sheet 2025-2026/"/>
    </mc:Choice>
  </mc:AlternateContent>
  <xr:revisionPtr revIDLastSave="265" documentId="11_BBD02158D2076043BDF0C6158160217DF2168394" xr6:coauthVersionLast="47" xr6:coauthVersionMax="47" xr10:uidLastSave="{EE936F68-2EDC-4F91-BF71-59CA1523B2CD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H19" i="1"/>
  <c r="H18" i="1"/>
  <c r="H22" i="1" l="1"/>
  <c r="H21" i="1"/>
  <c r="H20" i="1"/>
  <c r="H11" i="1"/>
  <c r="H8" i="1"/>
  <c r="H7" i="1"/>
  <c r="H6" i="1"/>
  <c r="H17" i="1"/>
  <c r="H13" i="1"/>
  <c r="H16" i="1"/>
  <c r="H12" i="1"/>
  <c r="H5" i="1"/>
  <c r="H15" i="1"/>
  <c r="H3" i="1"/>
  <c r="H4" i="1"/>
  <c r="H9" i="1"/>
  <c r="H10" i="1"/>
  <c r="H2" i="1"/>
  <c r="H14" i="1"/>
</calcChain>
</file>

<file path=xl/sharedStrings.xml><?xml version="1.0" encoding="utf-8"?>
<sst xmlns="http://schemas.openxmlformats.org/spreadsheetml/2006/main" count="275" uniqueCount="214">
  <si>
    <t>SR.No</t>
  </si>
  <si>
    <t>Truck No</t>
  </si>
  <si>
    <t xml:space="preserve">Model </t>
  </si>
  <si>
    <t>Insurance</t>
  </si>
  <si>
    <t>Fitness</t>
  </si>
  <si>
    <t>Tax</t>
  </si>
  <si>
    <t>PUC</t>
  </si>
  <si>
    <t>HR63E3914</t>
  </si>
  <si>
    <t>HR47C0999</t>
  </si>
  <si>
    <t>HR69B7078</t>
  </si>
  <si>
    <t xml:space="preserve">Pass wait </t>
  </si>
  <si>
    <t xml:space="preserve">Engine No </t>
  </si>
  <si>
    <t>HR63E9768</t>
  </si>
  <si>
    <t>HR63C7977</t>
  </si>
  <si>
    <t>HR63C8516</t>
  </si>
  <si>
    <t>HR63E8986</t>
  </si>
  <si>
    <t>HR63E9476</t>
  </si>
  <si>
    <t>HR63E3841</t>
  </si>
  <si>
    <t>HR47B4010</t>
  </si>
  <si>
    <t>Permite Local</t>
  </si>
  <si>
    <t>06.03.2027</t>
  </si>
  <si>
    <t>MC2ESGRC0MH195302</t>
  </si>
  <si>
    <t>E426CMH359080</t>
  </si>
  <si>
    <t>13.10.2021</t>
  </si>
  <si>
    <t>loded wait</t>
  </si>
  <si>
    <t>Unlode Wait</t>
  </si>
  <si>
    <t>22.07.2022</t>
  </si>
  <si>
    <t>NKPZ111041</t>
  </si>
  <si>
    <t>MB1TZKHD4NPKR6914</t>
  </si>
  <si>
    <t>28.09.2016</t>
  </si>
  <si>
    <t>08.09.2015</t>
  </si>
  <si>
    <t>13.06.2025</t>
  </si>
  <si>
    <t>01.01.2015</t>
  </si>
  <si>
    <t>31.12.2024</t>
  </si>
  <si>
    <t>28.03.2016</t>
  </si>
  <si>
    <t>15.03.2022</t>
  </si>
  <si>
    <t>27.03.2026</t>
  </si>
  <si>
    <t>23.03.2027</t>
  </si>
  <si>
    <t>03.12.2021</t>
  </si>
  <si>
    <t>02.12.2023</t>
  </si>
  <si>
    <t>19.01.2027</t>
  </si>
  <si>
    <t>20.06.2011</t>
  </si>
  <si>
    <t>11.06.2021</t>
  </si>
  <si>
    <t>16.06.2021</t>
  </si>
  <si>
    <t>20.06.2022</t>
  </si>
  <si>
    <t>31.06.2021</t>
  </si>
  <si>
    <t>30.04.2021</t>
  </si>
  <si>
    <t>NLPZ105250</t>
  </si>
  <si>
    <t>MB1TZKHD0NPLR0658</t>
  </si>
  <si>
    <t>41L63409863</t>
  </si>
  <si>
    <t>MAT447224E3N26631</t>
  </si>
  <si>
    <t>E426CCMK364616</t>
  </si>
  <si>
    <t>MC2ESHRCOMK196760</t>
  </si>
  <si>
    <t>HR36AB1512</t>
  </si>
  <si>
    <t>MC2ESHRC0MK196758</t>
  </si>
  <si>
    <t>E426CCMK364607</t>
  </si>
  <si>
    <t>61C84288943</t>
  </si>
  <si>
    <t>MAT466429GHC04183</t>
  </si>
  <si>
    <t>D44637</t>
  </si>
  <si>
    <t>HA10AGJHD39144</t>
  </si>
  <si>
    <t>MBLHAR374JHD29775</t>
  </si>
  <si>
    <t>61B63497027</t>
  </si>
  <si>
    <t>MAT447224GAB01999</t>
  </si>
  <si>
    <t>30.09.2023</t>
  </si>
  <si>
    <t>26.09.2023</t>
  </si>
  <si>
    <t>08.09.2017</t>
  </si>
  <si>
    <t>NILL</t>
  </si>
  <si>
    <t>07.09.2032</t>
  </si>
  <si>
    <t>05.07.2023</t>
  </si>
  <si>
    <t>30.04.2018</t>
  </si>
  <si>
    <t>29.04.2033</t>
  </si>
  <si>
    <t>06.08.2023</t>
  </si>
  <si>
    <t>MAT447220F1G17557</t>
  </si>
  <si>
    <t>B591803251G63455170</t>
  </si>
  <si>
    <t>Chassis No</t>
  </si>
  <si>
    <t>HR35Q2902</t>
  </si>
  <si>
    <t>25.03.2019</t>
  </si>
  <si>
    <t>HA10AGHB37451</t>
  </si>
  <si>
    <t>MBLHAW084KHB19430</t>
  </si>
  <si>
    <t>MAT466404B2E11800</t>
  </si>
  <si>
    <t>B591803111E63136324</t>
  </si>
  <si>
    <t>01.11.2023</t>
  </si>
  <si>
    <t>HR63E1352</t>
  </si>
  <si>
    <t>16.11.2022</t>
  </si>
  <si>
    <t>NEPZ124020</t>
  </si>
  <si>
    <t>MB1TZKHD7NPFS8599</t>
  </si>
  <si>
    <t>31.12.2023</t>
  </si>
  <si>
    <t>28.12.2023</t>
  </si>
  <si>
    <t>05.01.2024</t>
  </si>
  <si>
    <t>HR63E9632</t>
  </si>
  <si>
    <t>02.02.2023</t>
  </si>
  <si>
    <t>NBPZ139012</t>
  </si>
  <si>
    <t>MB1TZKHD2NPBU2379</t>
  </si>
  <si>
    <t>07.02.2028</t>
  </si>
  <si>
    <t>HR63E9776</t>
  </si>
  <si>
    <t>3.3LNGD05PXX536843</t>
  </si>
  <si>
    <t>MAT843004N7P28898</t>
  </si>
  <si>
    <t>03.11.2027</t>
  </si>
  <si>
    <t>31.03.2024</t>
  </si>
  <si>
    <t>02.04.2025</t>
  </si>
  <si>
    <t>28.09.2023</t>
  </si>
  <si>
    <t>29.06.2023</t>
  </si>
  <si>
    <t>13.09.2024</t>
  </si>
  <si>
    <t>13.03.2024</t>
  </si>
  <si>
    <t>23.03.2024</t>
  </si>
  <si>
    <t>27.08.2024</t>
  </si>
  <si>
    <t>22.04.2024</t>
  </si>
  <si>
    <t>06.03.2024</t>
  </si>
  <si>
    <t>24.03.2024</t>
  </si>
  <si>
    <t>13.04.2024</t>
  </si>
  <si>
    <t>30.08.2024</t>
  </si>
  <si>
    <t>28.09.2025</t>
  </si>
  <si>
    <t>12.10.2025</t>
  </si>
  <si>
    <t>HR63F0904</t>
  </si>
  <si>
    <t>HR63F0751</t>
  </si>
  <si>
    <t>09.11.2023</t>
  </si>
  <si>
    <t>MAT843202P7K21136</t>
  </si>
  <si>
    <t>3.3LNGD11KWX526916</t>
  </si>
  <si>
    <t>3.3LNGD11KWX526721</t>
  </si>
  <si>
    <t>MAT843202P7K20955</t>
  </si>
  <si>
    <t>08.11.2025</t>
  </si>
  <si>
    <t>14.11.2028</t>
  </si>
  <si>
    <t>08.11.2024</t>
  </si>
  <si>
    <t>HR36AD1352</t>
  </si>
  <si>
    <t>HR47F7819</t>
  </si>
  <si>
    <t>10.01.2024</t>
  </si>
  <si>
    <t>PGPZ127843</t>
  </si>
  <si>
    <t>MB1T2VHD0PPGX5131</t>
  </si>
  <si>
    <t>03.01.2026</t>
  </si>
  <si>
    <t>HR47G6388</t>
  </si>
  <si>
    <t>HR47G3246</t>
  </si>
  <si>
    <t>HR63D9020</t>
  </si>
  <si>
    <t>31.03.2026</t>
  </si>
  <si>
    <t>3.3LNGD11JVX520085</t>
  </si>
  <si>
    <t>MAT843202RAJ14253</t>
  </si>
  <si>
    <t>3.3LNGD11JVX520084</t>
  </si>
  <si>
    <t>MAT843202RAJ14254</t>
  </si>
  <si>
    <t>19.12.2018</t>
  </si>
  <si>
    <t>81J84822616</t>
  </si>
  <si>
    <t>MAT447264J5626108</t>
  </si>
  <si>
    <t>HR47G1056</t>
  </si>
  <si>
    <t>HR47G0975</t>
  </si>
  <si>
    <t>HR47G0194</t>
  </si>
  <si>
    <t>HR47G3060</t>
  </si>
  <si>
    <t>HR47G0742</t>
  </si>
  <si>
    <t>11.12.2025</t>
  </si>
  <si>
    <t>13.12.2026</t>
  </si>
  <si>
    <t>13.12.2025</t>
  </si>
  <si>
    <t>18.12.2025</t>
  </si>
  <si>
    <t>National Permite</t>
  </si>
  <si>
    <t>25.12.2028</t>
  </si>
  <si>
    <t>30.09.2025</t>
  </si>
  <si>
    <t>23.01.2026</t>
  </si>
  <si>
    <t>26.10.2025</t>
  </si>
  <si>
    <t>04.07.2026</t>
  </si>
  <si>
    <t>12.07.2026</t>
  </si>
  <si>
    <t>27.07.2026</t>
  </si>
  <si>
    <t>26.10.2027</t>
  </si>
  <si>
    <t>10.01.2026</t>
  </si>
  <si>
    <t>23.01.2027</t>
  </si>
  <si>
    <t>26.02.2026</t>
  </si>
  <si>
    <t>11.06.2026</t>
  </si>
  <si>
    <t>06.11.2026</t>
  </si>
  <si>
    <t>29.11.2027</t>
  </si>
  <si>
    <t>23.06.2026</t>
  </si>
  <si>
    <t>26.09.2026</t>
  </si>
  <si>
    <t>01.05.2026</t>
  </si>
  <si>
    <t>16.01.2026</t>
  </si>
  <si>
    <t>01.02.2027</t>
  </si>
  <si>
    <t>03.02.2026</t>
  </si>
  <si>
    <t>23.09.2026</t>
  </si>
  <si>
    <t>27.09.2025</t>
  </si>
  <si>
    <t>01.11.2025</t>
  </si>
  <si>
    <t>23.02.2026</t>
  </si>
  <si>
    <t>01.03.2026</t>
  </si>
  <si>
    <t>15.03.2025</t>
  </si>
  <si>
    <t>09.04.2026</t>
  </si>
  <si>
    <t>03.12.2025</t>
  </si>
  <si>
    <t>01.12.2025</t>
  </si>
  <si>
    <t>17.07.2025</t>
  </si>
  <si>
    <t>SMPZ119424</t>
  </si>
  <si>
    <t>MB1T2VHD4SPMF5377</t>
  </si>
  <si>
    <t>28.05.2026</t>
  </si>
  <si>
    <t>18.06.2027</t>
  </si>
  <si>
    <t>16.07.2026</t>
  </si>
  <si>
    <t>11.08.2026</t>
  </si>
  <si>
    <t>11.08.2030</t>
  </si>
  <si>
    <t>17.06.2025</t>
  </si>
  <si>
    <t>3.3LNGD11DUX510044</t>
  </si>
  <si>
    <t>MAT843202S5E10061</t>
  </si>
  <si>
    <t>01.07.2030</t>
  </si>
  <si>
    <t>23.05.2026</t>
  </si>
  <si>
    <t>16.06.2027</t>
  </si>
  <si>
    <t>MAT843202S5D08076</t>
  </si>
  <si>
    <t>12.06.2027</t>
  </si>
  <si>
    <t>12.06.2026</t>
  </si>
  <si>
    <t>01.06.2030</t>
  </si>
  <si>
    <t>3.3LNGD11DUX510043</t>
  </si>
  <si>
    <t>MAT843202S5E10060</t>
  </si>
  <si>
    <t>17.12.2025</t>
  </si>
  <si>
    <t>24.02.2026</t>
  </si>
  <si>
    <t>06.10.2025</t>
  </si>
  <si>
    <t>07.11.2026</t>
  </si>
  <si>
    <t>19.12.2029</t>
  </si>
  <si>
    <t>07.11.2025</t>
  </si>
  <si>
    <t>MB1T2VHD9SPMF5505</t>
  </si>
  <si>
    <t>SMPZ119615</t>
  </si>
  <si>
    <t>MB1T2VHD3SPMF5502</t>
  </si>
  <si>
    <t>SMPZ119327</t>
  </si>
  <si>
    <t>3.3LNGD11DUX508018</t>
  </si>
  <si>
    <t>HR47G4337</t>
  </si>
  <si>
    <t>HDB</t>
  </si>
  <si>
    <t>HDFC</t>
  </si>
  <si>
    <t>17.11.2026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</si>
</sst>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5" borderId="1" xfId="0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0" fillId="5" borderId="1" xfId="0" applyFill="1" applyBorder="1" applyAlignment="1">
      <alignment horizontal="center"/>
    </xf>
    <xf numFmtId="0" fontId="2" fillId="6" borderId="1" xfId="0" applyFont="1" applyFill="1" applyBorder="1"/>
    <xf numFmtId="0" fontId="0" fillId="6" borderId="1" xfId="0" applyFill="1" applyBorder="1"/>
    <xf numFmtId="0" fontId="2" fillId="7" borderId="1" xfId="0" applyFont="1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2" fillId="8" borderId="1" xfId="0" applyFont="1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4" fillId="8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VEHICLE%20DOCUMENT/HR63E9632/9632%20Permite.pdf" TargetMode="External"/><Relationship Id="rId1" Type="http://schemas.openxmlformats.org/officeDocument/2006/relationships/hyperlink" Target="VEHICLE%20DOCUMENT/HR63E1352/19%20nov%20206%20np%20pwemi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9"/>
  <sheetViews>
    <sheetView tabSelected="1" zoomScale="120" zoomScaleNormal="120" workbookViewId="0">
      <pane ySplit="1" topLeftCell="A2" activePane="bottomLeft" state="frozen"/>
      <selection pane="bottomLeft" activeCell="I19" sqref="I19"/>
    </sheetView>
  </sheetViews>
  <sheetFormatPr defaultRowHeight="12.75" x14ac:dyDescent="0.2"/>
  <cols>
    <col min="1" max="1" width="6.42578125" style="1" customWidth="1"/>
    <col min="2" max="2" width="11.28515625" bestFit="1" customWidth="1"/>
    <col min="3" max="3" width="9.85546875" bestFit="1" customWidth="1"/>
    <col min="4" max="4" width="20.42578125" bestFit="1" customWidth="1"/>
    <col min="5" max="5" width="19.5703125" bestFit="1" customWidth="1"/>
    <col min="6" max="6" width="7.5703125" style="4" customWidth="1"/>
    <col min="7" max="7" width="8" style="4" customWidth="1"/>
    <col min="8" max="8" width="6.7109375" style="4" customWidth="1"/>
    <col min="9" max="9" width="9.42578125" customWidth="1"/>
    <col min="10" max="11" width="9.5703125" customWidth="1"/>
    <col min="12" max="12" width="10.5703125" customWidth="1"/>
    <col min="13" max="13" width="10" customWidth="1"/>
    <col min="14" max="14" width="9.42578125" customWidth="1"/>
    <col min="15" max="15" width="16.42578125" customWidth="1"/>
    <col min="16" max="16" width="21.5703125" customWidth="1"/>
  </cols>
  <sheetData>
    <row r="1" spans="1:16" ht="31.5" x14ac:dyDescent="0.25">
      <c r="A1" s="9" t="s">
        <v>0</v>
      </c>
      <c r="B1" s="9" t="s">
        <v>1</v>
      </c>
      <c r="C1" s="9" t="s">
        <v>2</v>
      </c>
      <c r="D1" s="9" t="s">
        <v>11</v>
      </c>
      <c r="E1" s="9" t="s">
        <v>74</v>
      </c>
      <c r="F1" s="23" t="s">
        <v>10</v>
      </c>
      <c r="G1" s="23" t="s">
        <v>25</v>
      </c>
      <c r="H1" s="23" t="s">
        <v>24</v>
      </c>
      <c r="I1" s="24" t="s">
        <v>3</v>
      </c>
      <c r="J1" s="25" t="s">
        <v>4</v>
      </c>
      <c r="K1" s="26" t="s">
        <v>149</v>
      </c>
      <c r="L1" s="27" t="s">
        <v>19</v>
      </c>
      <c r="M1" s="28" t="s">
        <v>5</v>
      </c>
      <c r="N1" s="29" t="s">
        <v>6</v>
      </c>
      <c r="O1" s="2"/>
      <c r="P1" s="2"/>
    </row>
    <row r="2" spans="1:16" hidden="1" x14ac:dyDescent="0.2">
      <c r="A2" s="10">
        <v>1</v>
      </c>
      <c r="B2" s="8" t="s">
        <v>18</v>
      </c>
      <c r="C2" s="2" t="s">
        <v>41</v>
      </c>
      <c r="D2" s="2" t="s">
        <v>80</v>
      </c>
      <c r="E2" s="2" t="s">
        <v>79</v>
      </c>
      <c r="F2" s="3">
        <v>35000</v>
      </c>
      <c r="G2" s="3">
        <v>11000</v>
      </c>
      <c r="H2" s="3">
        <f t="shared" ref="H2:H14" si="0">F2-G2</f>
        <v>24000</v>
      </c>
      <c r="I2" s="12" t="s">
        <v>42</v>
      </c>
      <c r="J2" s="13" t="s">
        <v>43</v>
      </c>
      <c r="K2" s="20"/>
      <c r="L2" s="15" t="s">
        <v>44</v>
      </c>
      <c r="M2" s="6" t="s">
        <v>45</v>
      </c>
      <c r="N2" s="17" t="s">
        <v>46</v>
      </c>
      <c r="O2" s="2"/>
      <c r="P2" s="2"/>
    </row>
    <row r="3" spans="1:16" hidden="1" x14ac:dyDescent="0.2">
      <c r="A3" s="10">
        <v>2</v>
      </c>
      <c r="B3" s="8" t="s">
        <v>13</v>
      </c>
      <c r="C3" s="2" t="s">
        <v>32</v>
      </c>
      <c r="D3" s="2" t="s">
        <v>49</v>
      </c>
      <c r="E3" s="2" t="s">
        <v>50</v>
      </c>
      <c r="F3" s="3">
        <v>45500</v>
      </c>
      <c r="G3" s="3">
        <v>12200</v>
      </c>
      <c r="H3" s="3">
        <f t="shared" si="0"/>
        <v>33300</v>
      </c>
      <c r="I3" s="8" t="s">
        <v>87</v>
      </c>
      <c r="J3" s="11" t="s">
        <v>88</v>
      </c>
      <c r="K3" s="21"/>
      <c r="L3" s="16" t="s">
        <v>33</v>
      </c>
      <c r="M3" s="5" t="s">
        <v>98</v>
      </c>
      <c r="N3" s="17" t="s">
        <v>101</v>
      </c>
      <c r="O3" s="2"/>
      <c r="P3" s="2"/>
    </row>
    <row r="4" spans="1:16" hidden="1" x14ac:dyDescent="0.2">
      <c r="A4" s="10">
        <v>3</v>
      </c>
      <c r="B4" s="8" t="s">
        <v>14</v>
      </c>
      <c r="C4" s="2" t="s">
        <v>34</v>
      </c>
      <c r="D4" s="2" t="s">
        <v>61</v>
      </c>
      <c r="E4" s="2" t="s">
        <v>62</v>
      </c>
      <c r="F4" s="3">
        <v>45500</v>
      </c>
      <c r="G4" s="3">
        <v>12200</v>
      </c>
      <c r="H4" s="3">
        <f t="shared" si="0"/>
        <v>33300</v>
      </c>
      <c r="I4" s="12" t="s">
        <v>64</v>
      </c>
      <c r="J4" s="11" t="s">
        <v>99</v>
      </c>
      <c r="K4" s="21"/>
      <c r="L4" s="16" t="s">
        <v>36</v>
      </c>
      <c r="M4" s="6" t="s">
        <v>63</v>
      </c>
      <c r="N4" s="17" t="s">
        <v>100</v>
      </c>
      <c r="O4" s="2"/>
      <c r="P4" s="2"/>
    </row>
    <row r="5" spans="1:16" hidden="1" x14ac:dyDescent="0.2">
      <c r="A5" s="10">
        <v>4</v>
      </c>
      <c r="B5" s="8" t="s">
        <v>9</v>
      </c>
      <c r="C5" s="2" t="s">
        <v>30</v>
      </c>
      <c r="D5" s="2" t="s">
        <v>73</v>
      </c>
      <c r="E5" s="2" t="s">
        <v>72</v>
      </c>
      <c r="F5" s="3">
        <v>45500</v>
      </c>
      <c r="G5" s="3">
        <v>12200</v>
      </c>
      <c r="H5" s="3">
        <f>F5-G5</f>
        <v>33300</v>
      </c>
      <c r="I5" s="8" t="s">
        <v>110</v>
      </c>
      <c r="J5" s="11" t="s">
        <v>102</v>
      </c>
      <c r="K5" s="21"/>
      <c r="L5" s="16" t="s">
        <v>31</v>
      </c>
      <c r="M5" s="6" t="s">
        <v>86</v>
      </c>
      <c r="N5" s="18" t="s">
        <v>103</v>
      </c>
      <c r="O5" s="2"/>
      <c r="P5" s="2"/>
    </row>
    <row r="6" spans="1:16" hidden="1" x14ac:dyDescent="0.2">
      <c r="A6" s="10">
        <v>5</v>
      </c>
      <c r="B6" s="7" t="s">
        <v>53</v>
      </c>
      <c r="C6" s="2" t="s">
        <v>65</v>
      </c>
      <c r="D6" s="3">
        <v>3129792</v>
      </c>
      <c r="E6" s="2" t="s">
        <v>58</v>
      </c>
      <c r="F6" s="3"/>
      <c r="G6" s="3"/>
      <c r="H6" s="3">
        <f t="shared" si="0"/>
        <v>0</v>
      </c>
      <c r="I6" s="8" t="s">
        <v>105</v>
      </c>
      <c r="J6" s="11" t="s">
        <v>67</v>
      </c>
      <c r="K6" s="21"/>
      <c r="L6" s="16" t="s">
        <v>66</v>
      </c>
      <c r="M6" s="5" t="s">
        <v>66</v>
      </c>
      <c r="N6" s="17" t="s">
        <v>68</v>
      </c>
      <c r="O6" s="2"/>
      <c r="P6" s="2"/>
    </row>
    <row r="7" spans="1:16" hidden="1" x14ac:dyDescent="0.2">
      <c r="A7" s="10">
        <v>6</v>
      </c>
      <c r="B7" s="7" t="s">
        <v>123</v>
      </c>
      <c r="C7" s="2" t="s">
        <v>69</v>
      </c>
      <c r="D7" s="2" t="s">
        <v>59</v>
      </c>
      <c r="E7" s="2" t="s">
        <v>60</v>
      </c>
      <c r="F7" s="3"/>
      <c r="G7" s="3"/>
      <c r="H7" s="3">
        <f t="shared" si="0"/>
        <v>0</v>
      </c>
      <c r="I7" s="8" t="s">
        <v>106</v>
      </c>
      <c r="J7" s="11" t="s">
        <v>70</v>
      </c>
      <c r="K7" s="21"/>
      <c r="L7" s="16" t="s">
        <v>66</v>
      </c>
      <c r="M7" s="5" t="s">
        <v>66</v>
      </c>
      <c r="N7" s="17" t="s">
        <v>71</v>
      </c>
      <c r="O7" s="2"/>
      <c r="P7" s="2"/>
    </row>
    <row r="8" spans="1:16" hidden="1" x14ac:dyDescent="0.2">
      <c r="A8" s="10">
        <v>7</v>
      </c>
      <c r="B8" s="7" t="s">
        <v>75</v>
      </c>
      <c r="C8" s="2" t="s">
        <v>76</v>
      </c>
      <c r="D8" s="2" t="s">
        <v>77</v>
      </c>
      <c r="E8" s="2" t="s">
        <v>78</v>
      </c>
      <c r="F8" s="3"/>
      <c r="G8" s="3"/>
      <c r="H8" s="3">
        <f t="shared" si="0"/>
        <v>0</v>
      </c>
      <c r="I8" s="8" t="s">
        <v>107</v>
      </c>
      <c r="J8" s="11" t="s">
        <v>108</v>
      </c>
      <c r="K8" s="21"/>
      <c r="L8" s="16"/>
      <c r="M8" s="5"/>
      <c r="N8" s="18" t="s">
        <v>109</v>
      </c>
      <c r="O8" s="2"/>
      <c r="P8" s="2"/>
    </row>
    <row r="9" spans="1:16" ht="12" customHeight="1" x14ac:dyDescent="0.2">
      <c r="A9" s="10">
        <v>1</v>
      </c>
      <c r="B9" s="8" t="s">
        <v>16</v>
      </c>
      <c r="C9" s="2" t="s">
        <v>38</v>
      </c>
      <c r="D9" s="2" t="s">
        <v>51</v>
      </c>
      <c r="E9" s="2" t="s">
        <v>52</v>
      </c>
      <c r="F9" s="3">
        <v>18500</v>
      </c>
      <c r="G9" s="3">
        <v>5450</v>
      </c>
      <c r="H9" s="3">
        <f t="shared" si="0"/>
        <v>13050</v>
      </c>
      <c r="I9" s="8" t="s">
        <v>81</v>
      </c>
      <c r="J9" s="11" t="s">
        <v>39</v>
      </c>
      <c r="K9" s="21"/>
      <c r="L9" s="16" t="s">
        <v>40</v>
      </c>
      <c r="M9" s="5" t="s">
        <v>132</v>
      </c>
      <c r="N9" s="19" t="s">
        <v>104</v>
      </c>
      <c r="O9" s="2"/>
      <c r="P9" s="2"/>
    </row>
    <row r="10" spans="1:16" ht="12" customHeight="1" x14ac:dyDescent="0.2">
      <c r="A10" s="10">
        <v>2</v>
      </c>
      <c r="B10" s="8" t="s">
        <v>17</v>
      </c>
      <c r="C10" s="2" t="s">
        <v>38</v>
      </c>
      <c r="D10" s="2" t="s">
        <v>55</v>
      </c>
      <c r="E10" s="2" t="s">
        <v>54</v>
      </c>
      <c r="F10" s="3">
        <v>18500</v>
      </c>
      <c r="G10" s="3">
        <v>5450</v>
      </c>
      <c r="H10" s="3">
        <f t="shared" si="0"/>
        <v>13050</v>
      </c>
      <c r="I10" s="8" t="s">
        <v>172</v>
      </c>
      <c r="J10" s="11" t="s">
        <v>177</v>
      </c>
      <c r="K10" s="21"/>
      <c r="L10" s="16" t="s">
        <v>40</v>
      </c>
      <c r="M10" s="5" t="s">
        <v>132</v>
      </c>
      <c r="N10" s="18" t="s">
        <v>178</v>
      </c>
      <c r="O10" s="2"/>
      <c r="P10" s="2"/>
    </row>
    <row r="11" spans="1:16" ht="12" customHeight="1" x14ac:dyDescent="0.2">
      <c r="A11" s="10">
        <v>3</v>
      </c>
      <c r="B11" s="8" t="s">
        <v>15</v>
      </c>
      <c r="C11" s="2" t="s">
        <v>35</v>
      </c>
      <c r="D11" s="2" t="s">
        <v>47</v>
      </c>
      <c r="E11" s="2" t="s">
        <v>48</v>
      </c>
      <c r="F11" s="3">
        <v>55000</v>
      </c>
      <c r="G11" s="3">
        <v>13135</v>
      </c>
      <c r="H11" s="3">
        <f>F11-G11</f>
        <v>41865</v>
      </c>
      <c r="I11" s="8" t="s">
        <v>173</v>
      </c>
      <c r="J11" s="11" t="s">
        <v>174</v>
      </c>
      <c r="K11" s="20" t="s">
        <v>175</v>
      </c>
      <c r="L11" s="16" t="s">
        <v>37</v>
      </c>
      <c r="M11" s="6" t="s">
        <v>151</v>
      </c>
      <c r="N11" s="18" t="s">
        <v>176</v>
      </c>
      <c r="O11" s="2"/>
      <c r="P11" s="2"/>
    </row>
    <row r="12" spans="1:16" ht="12" customHeight="1" x14ac:dyDescent="0.2">
      <c r="A12" s="10">
        <v>4</v>
      </c>
      <c r="B12" s="8" t="s">
        <v>8</v>
      </c>
      <c r="C12" s="2" t="s">
        <v>29</v>
      </c>
      <c r="D12" s="2" t="s">
        <v>56</v>
      </c>
      <c r="E12" s="2" t="s">
        <v>57</v>
      </c>
      <c r="F12" s="3">
        <v>35000</v>
      </c>
      <c r="G12" s="3">
        <v>11000</v>
      </c>
      <c r="H12" s="3">
        <f>F12-G12</f>
        <v>24000</v>
      </c>
      <c r="I12" s="8" t="s">
        <v>170</v>
      </c>
      <c r="J12" s="13" t="s">
        <v>111</v>
      </c>
      <c r="K12" s="20" t="s">
        <v>171</v>
      </c>
      <c r="L12" s="15" t="s">
        <v>171</v>
      </c>
      <c r="M12" s="5" t="s">
        <v>132</v>
      </c>
      <c r="N12" s="18" t="s">
        <v>172</v>
      </c>
      <c r="O12" s="2"/>
      <c r="P12" s="2"/>
    </row>
    <row r="13" spans="1:16" ht="12" customHeight="1" x14ac:dyDescent="0.2">
      <c r="A13" s="10">
        <v>5</v>
      </c>
      <c r="B13" s="11" t="s">
        <v>94</v>
      </c>
      <c r="C13" s="2" t="s">
        <v>90</v>
      </c>
      <c r="D13" s="2" t="s">
        <v>95</v>
      </c>
      <c r="E13" s="2" t="s">
        <v>96</v>
      </c>
      <c r="F13" s="3">
        <v>17750</v>
      </c>
      <c r="G13" s="3">
        <v>5550</v>
      </c>
      <c r="H13" s="3">
        <f t="shared" si="0"/>
        <v>12200</v>
      </c>
      <c r="I13" s="8" t="s">
        <v>167</v>
      </c>
      <c r="J13" s="11" t="s">
        <v>168</v>
      </c>
      <c r="K13" s="21"/>
      <c r="L13" s="16" t="s">
        <v>93</v>
      </c>
      <c r="M13" s="5" t="s">
        <v>132</v>
      </c>
      <c r="N13" s="18" t="s">
        <v>169</v>
      </c>
      <c r="O13" s="2"/>
      <c r="P13" s="2"/>
    </row>
    <row r="14" spans="1:16" ht="12" customHeight="1" x14ac:dyDescent="0.2">
      <c r="A14" s="10">
        <v>6</v>
      </c>
      <c r="B14" s="11" t="s">
        <v>7</v>
      </c>
      <c r="C14" s="2" t="s">
        <v>23</v>
      </c>
      <c r="D14" s="2" t="s">
        <v>22</v>
      </c>
      <c r="E14" s="2" t="s">
        <v>21</v>
      </c>
      <c r="F14" s="3">
        <v>18500</v>
      </c>
      <c r="G14" s="3">
        <v>5300</v>
      </c>
      <c r="H14" s="3">
        <f t="shared" si="0"/>
        <v>13200</v>
      </c>
      <c r="I14" s="8" t="s">
        <v>165</v>
      </c>
      <c r="J14" s="11" t="s">
        <v>112</v>
      </c>
      <c r="K14" s="21"/>
      <c r="L14" s="16" t="s">
        <v>20</v>
      </c>
      <c r="M14" s="5" t="s">
        <v>132</v>
      </c>
      <c r="N14" s="19" t="s">
        <v>166</v>
      </c>
      <c r="O14" s="2"/>
      <c r="P14" s="2"/>
    </row>
    <row r="15" spans="1:16" ht="12" customHeight="1" x14ac:dyDescent="0.2">
      <c r="A15" s="10">
        <v>7</v>
      </c>
      <c r="B15" s="7" t="s">
        <v>12</v>
      </c>
      <c r="C15" s="2" t="s">
        <v>26</v>
      </c>
      <c r="D15" s="2" t="s">
        <v>27</v>
      </c>
      <c r="E15" s="2" t="s">
        <v>28</v>
      </c>
      <c r="F15" s="3">
        <v>55000</v>
      </c>
      <c r="G15" s="3">
        <v>12750</v>
      </c>
      <c r="H15" s="3">
        <f t="shared" ref="H15:H23" si="1">F15-G15</f>
        <v>42250</v>
      </c>
      <c r="I15" s="8" t="s">
        <v>154</v>
      </c>
      <c r="J15" s="11" t="s">
        <v>155</v>
      </c>
      <c r="K15" s="21" t="s">
        <v>156</v>
      </c>
      <c r="L15" s="16" t="s">
        <v>97</v>
      </c>
      <c r="M15" s="5" t="s">
        <v>132</v>
      </c>
      <c r="N15" s="18" t="s">
        <v>157</v>
      </c>
      <c r="O15" s="2"/>
      <c r="P15" s="2"/>
    </row>
    <row r="16" spans="1:16" ht="12" customHeight="1" x14ac:dyDescent="0.2">
      <c r="A16" s="10">
        <v>8</v>
      </c>
      <c r="B16" s="7" t="s">
        <v>82</v>
      </c>
      <c r="C16" s="2" t="s">
        <v>83</v>
      </c>
      <c r="D16" s="2" t="s">
        <v>84</v>
      </c>
      <c r="E16" s="2" t="s">
        <v>85</v>
      </c>
      <c r="F16" s="3">
        <v>55000</v>
      </c>
      <c r="G16" s="3">
        <v>13500</v>
      </c>
      <c r="H16" s="3">
        <f t="shared" si="1"/>
        <v>41500</v>
      </c>
      <c r="I16" s="8" t="s">
        <v>112</v>
      </c>
      <c r="J16" s="11" t="s">
        <v>162</v>
      </c>
      <c r="K16" s="33" t="s">
        <v>213</v>
      </c>
      <c r="L16" s="16" t="s">
        <v>163</v>
      </c>
      <c r="M16" s="5" t="s">
        <v>132</v>
      </c>
      <c r="N16" s="18" t="s">
        <v>164</v>
      </c>
      <c r="O16" s="2"/>
      <c r="P16" s="2"/>
    </row>
    <row r="17" spans="1:16" ht="12" customHeight="1" x14ac:dyDescent="0.2">
      <c r="A17" s="10">
        <v>9</v>
      </c>
      <c r="B17" s="7" t="s">
        <v>89</v>
      </c>
      <c r="C17" s="2" t="s">
        <v>90</v>
      </c>
      <c r="D17" s="2" t="s">
        <v>91</v>
      </c>
      <c r="E17" s="2" t="s">
        <v>92</v>
      </c>
      <c r="F17" s="3">
        <v>55000</v>
      </c>
      <c r="G17" s="3">
        <v>13500</v>
      </c>
      <c r="H17" s="3">
        <f t="shared" si="1"/>
        <v>41500</v>
      </c>
      <c r="I17" s="8" t="s">
        <v>158</v>
      </c>
      <c r="J17" s="11" t="s">
        <v>159</v>
      </c>
      <c r="K17" s="33" t="s">
        <v>160</v>
      </c>
      <c r="L17" s="16" t="s">
        <v>93</v>
      </c>
      <c r="M17" s="5" t="s">
        <v>132</v>
      </c>
      <c r="N17" s="18" t="s">
        <v>161</v>
      </c>
      <c r="O17" s="2"/>
      <c r="P17" s="2"/>
    </row>
    <row r="18" spans="1:16" x14ac:dyDescent="0.2">
      <c r="A18" s="10">
        <v>10</v>
      </c>
      <c r="B18" s="11" t="s">
        <v>129</v>
      </c>
      <c r="C18" s="11" t="s">
        <v>122</v>
      </c>
      <c r="D18" s="2" t="s">
        <v>133</v>
      </c>
      <c r="E18" s="2" t="s">
        <v>134</v>
      </c>
      <c r="F18" s="3">
        <v>18500</v>
      </c>
      <c r="G18" s="3">
        <v>5430</v>
      </c>
      <c r="H18" s="3">
        <f>F18-G18</f>
        <v>13070</v>
      </c>
      <c r="I18" s="8" t="s">
        <v>201</v>
      </c>
      <c r="J18" s="11" t="s">
        <v>202</v>
      </c>
      <c r="K18" s="21"/>
      <c r="L18" s="16" t="s">
        <v>203</v>
      </c>
      <c r="M18" s="5" t="s">
        <v>132</v>
      </c>
      <c r="N18" s="18" t="s">
        <v>204</v>
      </c>
      <c r="O18" s="2" t="s">
        <v>211</v>
      </c>
      <c r="P18" s="2"/>
    </row>
    <row r="19" spans="1:16" x14ac:dyDescent="0.2">
      <c r="A19" s="10">
        <v>11</v>
      </c>
      <c r="B19" s="11" t="s">
        <v>130</v>
      </c>
      <c r="C19" s="11" t="s">
        <v>122</v>
      </c>
      <c r="D19" s="2" t="s">
        <v>135</v>
      </c>
      <c r="E19" s="2" t="s">
        <v>136</v>
      </c>
      <c r="F19" s="3">
        <v>18500</v>
      </c>
      <c r="G19" s="3">
        <v>5430</v>
      </c>
      <c r="H19" s="3">
        <f>F19-G19</f>
        <v>13070</v>
      </c>
      <c r="I19" s="8" t="s">
        <v>201</v>
      </c>
      <c r="J19" s="11" t="s">
        <v>202</v>
      </c>
      <c r="K19" s="21"/>
      <c r="L19" s="16" t="s">
        <v>203</v>
      </c>
      <c r="M19" s="5" t="s">
        <v>132</v>
      </c>
      <c r="N19" s="18" t="s">
        <v>204</v>
      </c>
      <c r="O19" s="2" t="s">
        <v>212</v>
      </c>
      <c r="P19" s="2"/>
    </row>
    <row r="20" spans="1:16" x14ac:dyDescent="0.2">
      <c r="A20" s="10">
        <v>12</v>
      </c>
      <c r="B20" s="11" t="s">
        <v>113</v>
      </c>
      <c r="C20" s="2" t="s">
        <v>115</v>
      </c>
      <c r="D20" s="2" t="s">
        <v>117</v>
      </c>
      <c r="E20" s="2" t="s">
        <v>116</v>
      </c>
      <c r="F20" s="3">
        <v>18500</v>
      </c>
      <c r="G20" s="3">
        <v>5430</v>
      </c>
      <c r="H20" s="3">
        <f t="shared" si="1"/>
        <v>13070</v>
      </c>
      <c r="I20" s="8" t="s">
        <v>153</v>
      </c>
      <c r="J20" s="11" t="s">
        <v>120</v>
      </c>
      <c r="K20" s="21"/>
      <c r="L20" s="16" t="s">
        <v>121</v>
      </c>
      <c r="M20" s="5" t="s">
        <v>132</v>
      </c>
      <c r="N20" s="18" t="s">
        <v>152</v>
      </c>
      <c r="O20" s="2"/>
      <c r="P20" s="2"/>
    </row>
    <row r="21" spans="1:16" x14ac:dyDescent="0.2">
      <c r="A21" s="10">
        <v>13</v>
      </c>
      <c r="B21" s="11" t="s">
        <v>114</v>
      </c>
      <c r="C21" s="2" t="s">
        <v>115</v>
      </c>
      <c r="D21" s="2" t="s">
        <v>118</v>
      </c>
      <c r="E21" s="2" t="s">
        <v>119</v>
      </c>
      <c r="F21" s="3">
        <v>18500</v>
      </c>
      <c r="G21" s="3">
        <v>5430</v>
      </c>
      <c r="H21" s="3">
        <f t="shared" si="1"/>
        <v>13070</v>
      </c>
      <c r="I21" s="8" t="s">
        <v>153</v>
      </c>
      <c r="J21" s="11" t="s">
        <v>120</v>
      </c>
      <c r="K21" s="21"/>
      <c r="L21" s="16" t="s">
        <v>121</v>
      </c>
      <c r="M21" s="5" t="s">
        <v>132</v>
      </c>
      <c r="N21" s="18" t="s">
        <v>120</v>
      </c>
      <c r="O21" s="2"/>
      <c r="P21" s="2"/>
    </row>
    <row r="22" spans="1:16" x14ac:dyDescent="0.2">
      <c r="A22" s="10">
        <v>14</v>
      </c>
      <c r="B22" s="32" t="s">
        <v>124</v>
      </c>
      <c r="C22" s="3" t="s">
        <v>125</v>
      </c>
      <c r="D22" s="3" t="s">
        <v>126</v>
      </c>
      <c r="E22" s="3" t="s">
        <v>127</v>
      </c>
      <c r="F22" s="3">
        <v>55000</v>
      </c>
      <c r="G22" s="3">
        <v>12740</v>
      </c>
      <c r="H22" s="3">
        <f t="shared" si="1"/>
        <v>42260</v>
      </c>
      <c r="I22" s="31" t="s">
        <v>199</v>
      </c>
      <c r="J22" s="14" t="s">
        <v>128</v>
      </c>
      <c r="K22" s="22" t="s">
        <v>200</v>
      </c>
      <c r="L22" s="30" t="s">
        <v>200</v>
      </c>
      <c r="M22" s="5" t="s">
        <v>132</v>
      </c>
      <c r="N22" s="18" t="s">
        <v>166</v>
      </c>
      <c r="O22" s="2"/>
      <c r="P22" s="2"/>
    </row>
    <row r="23" spans="1:16" x14ac:dyDescent="0.2">
      <c r="A23" s="10">
        <v>15</v>
      </c>
      <c r="B23" s="7" t="s">
        <v>131</v>
      </c>
      <c r="C23" s="2" t="s">
        <v>137</v>
      </c>
      <c r="D23" s="2" t="s">
        <v>138</v>
      </c>
      <c r="E23" s="2" t="s">
        <v>139</v>
      </c>
      <c r="F23" s="3">
        <v>45500</v>
      </c>
      <c r="G23" s="3">
        <v>12200</v>
      </c>
      <c r="H23" s="3">
        <f t="shared" si="1"/>
        <v>33300</v>
      </c>
      <c r="I23" s="8" t="s">
        <v>145</v>
      </c>
      <c r="J23" s="11" t="s">
        <v>146</v>
      </c>
      <c r="K23" s="20" t="s">
        <v>148</v>
      </c>
      <c r="L23" s="16" t="s">
        <v>150</v>
      </c>
      <c r="M23" s="5" t="s">
        <v>132</v>
      </c>
      <c r="N23" s="18" t="s">
        <v>147</v>
      </c>
      <c r="O23" s="2"/>
      <c r="P23" s="2"/>
    </row>
    <row r="24" spans="1:16" x14ac:dyDescent="0.2">
      <c r="A24" s="10">
        <v>16</v>
      </c>
      <c r="B24" s="11" t="s">
        <v>140</v>
      </c>
      <c r="C24" s="2" t="s">
        <v>31</v>
      </c>
      <c r="D24" s="2" t="s">
        <v>209</v>
      </c>
      <c r="E24" s="2" t="s">
        <v>193</v>
      </c>
      <c r="F24" s="3"/>
      <c r="G24" s="3"/>
      <c r="H24" s="3"/>
      <c r="I24" s="8" t="s">
        <v>191</v>
      </c>
      <c r="J24" s="11" t="s">
        <v>194</v>
      </c>
      <c r="K24" s="21"/>
      <c r="L24" s="16" t="s">
        <v>196</v>
      </c>
      <c r="M24" s="5" t="s">
        <v>132</v>
      </c>
      <c r="N24" s="18" t="s">
        <v>195</v>
      </c>
      <c r="O24" s="2"/>
      <c r="P24" s="2"/>
    </row>
    <row r="25" spans="1:16" x14ac:dyDescent="0.2">
      <c r="A25" s="10">
        <v>17</v>
      </c>
      <c r="B25" s="11" t="s">
        <v>144</v>
      </c>
      <c r="C25" s="2" t="s">
        <v>187</v>
      </c>
      <c r="D25" s="2" t="s">
        <v>188</v>
      </c>
      <c r="E25" s="2" t="s">
        <v>189</v>
      </c>
      <c r="F25" s="3"/>
      <c r="G25" s="3"/>
      <c r="H25" s="3"/>
      <c r="I25" s="8" t="s">
        <v>191</v>
      </c>
      <c r="J25" s="11" t="s">
        <v>192</v>
      </c>
      <c r="K25" s="21"/>
      <c r="L25" s="16" t="s">
        <v>190</v>
      </c>
      <c r="M25" s="5" t="s">
        <v>132</v>
      </c>
      <c r="N25" s="18" t="s">
        <v>184</v>
      </c>
      <c r="O25" s="2"/>
      <c r="P25" s="2"/>
    </row>
    <row r="26" spans="1:16" x14ac:dyDescent="0.2">
      <c r="A26" s="10">
        <v>18</v>
      </c>
      <c r="B26" s="11" t="s">
        <v>141</v>
      </c>
      <c r="C26" s="2" t="s">
        <v>187</v>
      </c>
      <c r="D26" s="2" t="s">
        <v>197</v>
      </c>
      <c r="E26" s="2" t="s">
        <v>198</v>
      </c>
      <c r="F26" s="3"/>
      <c r="G26" s="3"/>
      <c r="H26" s="3"/>
      <c r="I26" s="8" t="s">
        <v>191</v>
      </c>
      <c r="J26" s="11" t="s">
        <v>192</v>
      </c>
      <c r="K26" s="21"/>
      <c r="L26" s="16" t="s">
        <v>190</v>
      </c>
      <c r="M26" s="5" t="s">
        <v>132</v>
      </c>
      <c r="N26" s="18" t="s">
        <v>184</v>
      </c>
      <c r="O26" s="2"/>
      <c r="P26" s="2"/>
    </row>
    <row r="27" spans="1:16" x14ac:dyDescent="0.2">
      <c r="A27" s="10">
        <v>19</v>
      </c>
      <c r="B27" s="7" t="s">
        <v>142</v>
      </c>
      <c r="C27" s="2" t="s">
        <v>179</v>
      </c>
      <c r="D27" s="2" t="s">
        <v>208</v>
      </c>
      <c r="E27" s="2" t="s">
        <v>207</v>
      </c>
      <c r="F27" s="3"/>
      <c r="G27" s="3"/>
      <c r="H27" s="3"/>
      <c r="I27" s="8" t="s">
        <v>182</v>
      </c>
      <c r="J27" s="11" t="s">
        <v>183</v>
      </c>
      <c r="K27" s="21" t="s">
        <v>185</v>
      </c>
      <c r="L27" s="16" t="s">
        <v>186</v>
      </c>
      <c r="M27" s="5" t="s">
        <v>132</v>
      </c>
      <c r="N27" s="18" t="s">
        <v>184</v>
      </c>
      <c r="O27" s="2"/>
      <c r="P27" s="2"/>
    </row>
    <row r="28" spans="1:16" x14ac:dyDescent="0.2">
      <c r="A28" s="10">
        <v>20</v>
      </c>
      <c r="B28" s="7" t="s">
        <v>143</v>
      </c>
      <c r="C28" s="2" t="s">
        <v>179</v>
      </c>
      <c r="D28" s="2" t="s">
        <v>206</v>
      </c>
      <c r="E28" s="2" t="s">
        <v>205</v>
      </c>
      <c r="F28" s="3"/>
      <c r="G28" s="3"/>
      <c r="H28" s="3"/>
      <c r="I28" s="8" t="s">
        <v>182</v>
      </c>
      <c r="J28" s="11" t="s">
        <v>183</v>
      </c>
      <c r="K28" s="21" t="s">
        <v>185</v>
      </c>
      <c r="L28" s="16" t="s">
        <v>186</v>
      </c>
      <c r="M28" s="5" t="s">
        <v>132</v>
      </c>
      <c r="N28" s="18" t="s">
        <v>184</v>
      </c>
      <c r="O28" s="2"/>
      <c r="P28" s="2"/>
    </row>
    <row r="29" spans="1:16" x14ac:dyDescent="0.2">
      <c r="A29" s="10">
        <v>21</v>
      </c>
      <c r="B29" s="7" t="s">
        <v>210</v>
      </c>
      <c r="C29" s="2" t="s">
        <v>179</v>
      </c>
      <c r="D29" s="2" t="s">
        <v>180</v>
      </c>
      <c r="E29" s="2" t="s">
        <v>181</v>
      </c>
      <c r="F29" s="3"/>
      <c r="G29" s="3"/>
      <c r="H29" s="3"/>
      <c r="I29" s="8" t="s">
        <v>182</v>
      </c>
      <c r="J29" s="11" t="s">
        <v>183</v>
      </c>
      <c r="K29" s="21" t="s">
        <v>185</v>
      </c>
      <c r="L29" s="16" t="s">
        <v>186</v>
      </c>
      <c r="M29" s="5" t="s">
        <v>132</v>
      </c>
      <c r="N29" s="18" t="s">
        <v>184</v>
      </c>
      <c r="O29" s="2"/>
      <c r="P29" s="2"/>
    </row>
  </sheetData>
  <phoneticPr fontId="3" type="noConversion"/>
  <hyperlinks>
    <hyperlink ref="K16" r:id="rId1" xr:uid="{CEB33323-36C8-4A32-8011-2E5D7FBD2145}"/>
    <hyperlink ref="K17" r:id="rId2" xr:uid="{9925D03C-5F72-4EBD-9387-D3AEB27DAE7D}"/>
  </hyperlinks>
  <pageMargins left="0.25" right="0.25" top="0.75" bottom="0.75" header="0.3" footer="0.3"/>
  <pageSetup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jangra</dc:creator>
  <cp:lastModifiedBy>dixit jangra</cp:lastModifiedBy>
  <cp:lastPrinted>2025-11-10T10:45:39Z</cp:lastPrinted>
  <dcterms:created xsi:type="dcterms:W3CDTF">2022-09-28T10:23:49Z</dcterms:created>
  <dcterms:modified xsi:type="dcterms:W3CDTF">2026-01-28T11:17:34Z</dcterms:modified>
</cp:coreProperties>
</file>